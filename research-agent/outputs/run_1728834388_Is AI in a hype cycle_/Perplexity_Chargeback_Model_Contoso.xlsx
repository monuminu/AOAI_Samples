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Rate Card &amp; Baseline" sheetId="2" state="visible" r:id="rId4"/>
    <sheet name="BU Allocation" sheetId="3" state="visible" r:id="rId5"/>
    <sheet name="Proration" sheetId="4" state="visible" r:id="rId6"/>
    <sheet name="Sensitiv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<sst xmlns="http://schemas.openxmlformats.org/spreadsheetml/2006/main" count="81" uniqueCount="76">
  <si>
    <t xml:space="preserve">PERPLEXITY CHARGEBACK — EDITABLE INPUTS</t>
  </si>
  <si>
    <t xml:space="preserve">Edit the blue cells. Yellow = key assumptions. Everything else recalculates automatically.</t>
  </si>
  <si>
    <t xml:space="preserve">Input</t>
  </si>
  <si>
    <t xml:space="preserve">Value</t>
  </si>
  <si>
    <t xml:space="preserve">Notes / Assumption</t>
  </si>
  <si>
    <t xml:space="preserve">Pro license — list price ($/seat/yr)</t>
  </si>
  <si>
    <t xml:space="preserve">User-provided list price.</t>
  </si>
  <si>
    <t xml:space="preserve">Max license — list price ($/seat/yr)</t>
  </si>
  <si>
    <t xml:space="preserve">Platform uplift (% on spend)</t>
  </si>
  <si>
    <t xml:space="preserve">Recovers Platform Team cost (admin, SSO/SCIM, support, governance).</t>
  </si>
  <si>
    <t xml:space="preserve">Top-up pack price ($/pack)</t>
  </si>
  <si>
    <t xml:space="preserve">Additional credits when a user exhausts included usage.</t>
  </si>
  <si>
    <t xml:space="preserve">Pro seats — baseline (count)</t>
  </si>
  <si>
    <t xml:space="preserve">Total Pro licenses across all BUs.</t>
  </si>
  <si>
    <t xml:space="preserve">Max seats — baseline (count)</t>
  </si>
  <si>
    <t xml:space="preserve">Total Max licenses across all BUs.</t>
  </si>
  <si>
    <t xml:space="preserve">Pro included credit wallet ($/seat/yr)</t>
  </si>
  <si>
    <t xml:space="preserve">Pre-funded usage per Pro seat ($0 = access only).</t>
  </si>
  <si>
    <t xml:space="preserve">Max included credit wallet ($/seat/yr)</t>
  </si>
  <si>
    <t xml:space="preserve">Pre-funded usage per Max seat ($0 = access only).</t>
  </si>
  <si>
    <t xml:space="preserve">Contract term (months)</t>
  </si>
  <si>
    <t xml:space="preserve">Used for proration.</t>
  </si>
  <si>
    <t xml:space="preserve">Cell map:  C6 Pro price · C7 Max price · C8 uplift% · C9 pack · C10 Pro seats · C11 Max seats · C12/C13 wallets · C14 term</t>
  </si>
  <si>
    <t xml:space="preserve">FULLY-LOADED RATE CARD</t>
  </si>
  <si>
    <t xml:space="preserve">Tier</t>
  </si>
  <si>
    <t xml:space="preserve">List $/yr</t>
  </si>
  <si>
    <t xml:space="preserve">Uplift</t>
  </si>
  <si>
    <t xml:space="preserve">Loaded $/yr</t>
  </si>
  <si>
    <t xml:space="preserve">Pro</t>
  </si>
  <si>
    <t xml:space="preserve">Max</t>
  </si>
  <si>
    <t xml:space="preserve">Top-up pack</t>
  </si>
  <si>
    <t xml:space="preserve">BASELINE — ANNUAL CHARGEBACK (all seats)</t>
  </si>
  <si>
    <t xml:space="preserve">Item</t>
  </si>
  <si>
    <t xml:space="preserve">Quantity</t>
  </si>
  <si>
    <t xml:space="preserve">Calc / Rate</t>
  </si>
  <si>
    <t xml:space="preserve">$ / yr</t>
  </si>
  <si>
    <t xml:space="preserve">Pro licenses</t>
  </si>
  <si>
    <t xml:space="preserve">license × price</t>
  </si>
  <si>
    <t xml:space="preserve">Max licenses</t>
  </si>
  <si>
    <t xml:space="preserve">License subtotal</t>
  </si>
  <si>
    <t xml:space="preserve">Platform uplift</t>
  </si>
  <si>
    <t xml:space="preserve">subtotal × uplift</t>
  </si>
  <si>
    <t xml:space="preserve">TOTAL CHARGEBACK / YR</t>
  </si>
  <si>
    <t xml:space="preserve">PER-BU ALLOCATION  (edit blue seat/pack counts per BU)</t>
  </si>
  <si>
    <t xml:space="preserve">Formula:  Total = Pro×LoadedPro + Max×LoadedMax + Packs×LoadedPack    (Loaded = list × (1+uplift))</t>
  </si>
  <si>
    <t xml:space="preserve">Business Unit</t>
  </si>
  <si>
    <t xml:space="preserve">Pro seats</t>
  </si>
  <si>
    <t xml:space="preserve">Max seats</t>
  </si>
  <si>
    <t xml:space="preserve">Top-up packs</t>
  </si>
  <si>
    <t xml:space="preserve">License $</t>
  </si>
  <si>
    <t xml:space="preserve">Platform $</t>
  </si>
  <si>
    <t xml:space="preserve">Total $/yr</t>
  </si>
  <si>
    <t xml:space="preserve">Worked example</t>
  </si>
  <si>
    <t xml:space="preserve">BU – Marketing</t>
  </si>
  <si>
    <t xml:space="preserve">BU – Finance</t>
  </si>
  <si>
    <t xml:space="preserve">BU – Engineering</t>
  </si>
  <si>
    <t xml:space="preserve">BU – Sales</t>
  </si>
  <si>
    <t xml:space="preserve">BU – Operations</t>
  </si>
  <si>
    <t xml:space="preserve">TOTAL (sample)</t>
  </si>
  <si>
    <t xml:space="preserve">Tip: add or delete BU rows above the TOTAL; copy the formulas in F:H down to new rows.</t>
  </si>
  <si>
    <t xml:space="preserve">MID-TERM ADD-SEAT PRORATION</t>
  </si>
  <si>
    <t xml:space="preserve">Charge = price × (whole months remaining ÷ term) × (1 + uplift).  Removals: no mid-term refund — true-up at renewal.</t>
  </si>
  <si>
    <t xml:space="preserve">Months remaining</t>
  </si>
  <si>
    <t xml:space="preserve">+1 Pro seat</t>
  </si>
  <si>
    <t xml:space="preserve">+1 Max seat</t>
  </si>
  <si>
    <t xml:space="preserve">INTERACTIVE CALCULATOR</t>
  </si>
  <si>
    <t xml:space="preserve">Tier price ($/yr)</t>
  </si>
  <si>
    <t xml:space="preserve">Prorated charge (incl. uplift)</t>
  </si>
  <si>
    <t xml:space="preserve">SENSITIVITY — TOTAL CHARGEBACK vs PLATFORM UPLIFT %</t>
  </si>
  <si>
    <t xml:space="preserve">License base is fixed; only the platform uplift varies. Edit the blue uplift % cells to test scenarios.</t>
  </si>
  <si>
    <t xml:space="preserve">Scenario</t>
  </si>
  <si>
    <t xml:space="preserve">Uplift %</t>
  </si>
  <si>
    <t xml:space="preserve">License base $</t>
  </si>
  <si>
    <t xml:space="preserve">Low</t>
  </si>
  <si>
    <t xml:space="preserve">Base (current)</t>
  </si>
  <si>
    <t xml:space="preserve">High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</si>
</sst>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"/>
    <numFmt numFmtId="167" formatCode="#,##0"/>
    <numFmt numFmtId="168" formatCode="\$#,##0.00;&quot;($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3FA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1A1A1A"/>
      <name val="Arial"/>
      <family val="0"/>
      <charset val="1"/>
    </font>
    <font>
      <i val="true"/>
      <sz val="8"/>
      <color rgb="FF6B3FA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0247B"/>
        <bgColor rgb="FF6B3FA0"/>
      </patternFill>
    </fill>
    <fill>
      <patternFill patternType="solid">
        <fgColor rgb="FF6B3FA0"/>
        <bgColor rgb="FF993366"/>
      </patternFill>
    </fill>
    <fill>
      <patternFill patternType="solid">
        <fgColor rgb="FFFFF3D6"/>
        <bgColor rgb="FFF2F2F2"/>
      </patternFill>
    </fill>
    <fill>
      <patternFill patternType="solid">
        <fgColor rgb="FFF2F2F2"/>
        <bgColor rgb="FFFFF3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3FA0"/>
      <rgbColor rgb="FF969696"/>
      <rgbColor rgb="FF003366"/>
      <rgbColor rgb="FF339966"/>
      <rgbColor rgb="FF003300"/>
      <rgbColor rgb="FF333300"/>
      <rgbColor rgb="FF993300"/>
      <rgbColor rgb="FF993366"/>
      <rgbColor rgb="FF40247B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52"/>
  </cols>
  <sheetData>
    <row r="2" customFormat="false" ht="24" hidden="false" customHeight="true" outlineLevel="0" collapsed="false">
      <c r="B2" s="2" t="s">
        <v>0</v>
      </c>
      <c r="C2" s="2"/>
      <c r="D2" s="2"/>
    </row>
    <row r="3" customFormat="false" ht="22.3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  <c r="C5" s="4" t="s">
        <v>3</v>
      </c>
      <c r="D5" s="4" t="s">
        <v>4</v>
      </c>
    </row>
    <row r="6" customFormat="false" ht="15" hidden="false" customHeight="false" outlineLevel="0" collapsed="false">
      <c r="B6" s="5" t="s">
        <v>5</v>
      </c>
      <c r="C6" s="6" t="n">
        <v>400</v>
      </c>
      <c r="D6" s="7" t="s">
        <v>6</v>
      </c>
    </row>
    <row r="7" customFormat="false" ht="15" hidden="false" customHeight="false" outlineLevel="0" collapsed="false">
      <c r="B7" s="5" t="s">
        <v>7</v>
      </c>
      <c r="C7" s="6" t="n">
        <v>3000</v>
      </c>
      <c r="D7" s="7" t="s">
        <v>6</v>
      </c>
    </row>
    <row r="8" customFormat="false" ht="22.35" hidden="false" customHeight="false" outlineLevel="0" collapsed="false">
      <c r="B8" s="5" t="s">
        <v>8</v>
      </c>
      <c r="C8" s="8" t="n">
        <v>0.1</v>
      </c>
      <c r="D8" s="7" t="s">
        <v>9</v>
      </c>
    </row>
    <row r="9" customFormat="false" ht="15" hidden="false" customHeight="false" outlineLevel="0" collapsed="false">
      <c r="B9" s="5" t="s">
        <v>10</v>
      </c>
      <c r="C9" s="9" t="n">
        <v>50</v>
      </c>
      <c r="D9" s="7" t="s">
        <v>11</v>
      </c>
    </row>
    <row r="10" customFormat="false" ht="15" hidden="false" customHeight="false" outlineLevel="0" collapsed="false">
      <c r="B10" s="5" t="s">
        <v>12</v>
      </c>
      <c r="C10" s="10" t="n">
        <v>490</v>
      </c>
      <c r="D10" s="7" t="s">
        <v>13</v>
      </c>
    </row>
    <row r="11" customFormat="false" ht="15" hidden="false" customHeight="false" outlineLevel="0" collapsed="false">
      <c r="B11" s="5" t="s">
        <v>14</v>
      </c>
      <c r="C11" s="10" t="n">
        <v>10</v>
      </c>
      <c r="D11" s="7" t="s">
        <v>15</v>
      </c>
    </row>
    <row r="12" customFormat="false" ht="15" hidden="false" customHeight="false" outlineLevel="0" collapsed="false">
      <c r="B12" s="5" t="s">
        <v>16</v>
      </c>
      <c r="C12" s="9" t="n">
        <v>0</v>
      </c>
      <c r="D12" s="7" t="s">
        <v>17</v>
      </c>
    </row>
    <row r="13" customFormat="false" ht="15" hidden="false" customHeight="false" outlineLevel="0" collapsed="false">
      <c r="B13" s="5" t="s">
        <v>18</v>
      </c>
      <c r="C13" s="9" t="n">
        <v>0</v>
      </c>
      <c r="D13" s="7" t="s">
        <v>19</v>
      </c>
    </row>
    <row r="14" customFormat="false" ht="15" hidden="false" customHeight="false" outlineLevel="0" collapsed="false">
      <c r="B14" s="5" t="s">
        <v>20</v>
      </c>
      <c r="C14" s="10" t="n">
        <v>12</v>
      </c>
      <c r="D14" s="7" t="s">
        <v>21</v>
      </c>
    </row>
    <row r="16" customFormat="false" ht="28.35" hidden="false" customHeight="false" outlineLevel="0" collapsed="false">
      <c r="B16" s="11" t="s">
        <v>22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5" min="3" style="1" width="16"/>
  </cols>
  <sheetData>
    <row r="2" customFormat="false" ht="24" hidden="false" customHeight="true" outlineLevel="0" collapsed="false">
      <c r="B2" s="2" t="s">
        <v>23</v>
      </c>
      <c r="C2" s="2"/>
      <c r="D2" s="2"/>
    </row>
    <row r="4" customFormat="false" ht="15" hidden="false" customHeight="false" outlineLevel="0" collapsed="false">
      <c r="B4" s="4" t="s">
        <v>24</v>
      </c>
      <c r="C4" s="4" t="s">
        <v>25</v>
      </c>
      <c r="D4" s="4" t="s">
        <v>26</v>
      </c>
      <c r="E4" s="4" t="s">
        <v>27</v>
      </c>
    </row>
    <row r="5" customFormat="false" ht="15" hidden="false" customHeight="false" outlineLevel="0" collapsed="false">
      <c r="B5" s="12" t="s">
        <v>28</v>
      </c>
      <c r="C5" s="13" t="n">
        <f aca="false">Inputs!$C$6</f>
        <v>400</v>
      </c>
      <c r="D5" s="14" t="n">
        <f aca="false">Inputs!$C$8</f>
        <v>0.1</v>
      </c>
      <c r="E5" s="15" t="n">
        <f aca="false">Inputs!$C$6*(1+Inputs!$C$8)</f>
        <v>440</v>
      </c>
    </row>
    <row r="6" customFormat="false" ht="15" hidden="false" customHeight="false" outlineLevel="0" collapsed="false">
      <c r="B6" s="12" t="s">
        <v>29</v>
      </c>
      <c r="C6" s="13" t="n">
        <f aca="false">Inputs!$C$7</f>
        <v>3000</v>
      </c>
      <c r="D6" s="14" t="n">
        <f aca="false">Inputs!$C$8</f>
        <v>0.1</v>
      </c>
      <c r="E6" s="15" t="n">
        <f aca="false">Inputs!$C$7*(1+Inputs!$C$8)</f>
        <v>3300</v>
      </c>
    </row>
    <row r="7" customFormat="false" ht="15" hidden="false" customHeight="false" outlineLevel="0" collapsed="false">
      <c r="B7" s="12" t="s">
        <v>30</v>
      </c>
      <c r="C7" s="13" t="n">
        <f aca="false">Inputs!$C$9</f>
        <v>50</v>
      </c>
      <c r="D7" s="14" t="n">
        <f aca="false">Inputs!$C$8</f>
        <v>0.1</v>
      </c>
      <c r="E7" s="15" t="n">
        <f aca="false">Inputs!$C$9*(1+Inputs!$C$8)</f>
        <v>55</v>
      </c>
    </row>
    <row r="9" customFormat="false" ht="24" hidden="false" customHeight="true" outlineLevel="0" collapsed="false">
      <c r="B9" s="2" t="s">
        <v>31</v>
      </c>
      <c r="C9" s="2"/>
      <c r="D9" s="2"/>
    </row>
    <row r="11" customFormat="false" ht="15" hidden="false" customHeight="false" outlineLevel="0" collapsed="false">
      <c r="B11" s="4" t="s">
        <v>32</v>
      </c>
      <c r="C11" s="4" t="s">
        <v>33</v>
      </c>
      <c r="D11" s="4" t="s">
        <v>34</v>
      </c>
      <c r="E11" s="4" t="s">
        <v>35</v>
      </c>
    </row>
    <row r="12" customFormat="false" ht="15" hidden="false" customHeight="false" outlineLevel="0" collapsed="false">
      <c r="B12" s="5" t="s">
        <v>36</v>
      </c>
      <c r="C12" s="16" t="n">
        <f aca="false">Inputs!$C$10</f>
        <v>490</v>
      </c>
      <c r="D12" s="17" t="s">
        <v>37</v>
      </c>
      <c r="E12" s="18" t="n">
        <f aca="false">Inputs!$C$10*Inputs!$C$6</f>
        <v>196000</v>
      </c>
    </row>
    <row r="13" customFormat="false" ht="15" hidden="false" customHeight="false" outlineLevel="0" collapsed="false">
      <c r="B13" s="5" t="s">
        <v>38</v>
      </c>
      <c r="C13" s="16" t="n">
        <f aca="false">Inputs!$C$11</f>
        <v>10</v>
      </c>
      <c r="D13" s="17" t="s">
        <v>37</v>
      </c>
      <c r="E13" s="18" t="n">
        <f aca="false">Inputs!$C$11*Inputs!$C$7</f>
        <v>30000</v>
      </c>
    </row>
    <row r="14" customFormat="false" ht="15" hidden="false" customHeight="false" outlineLevel="0" collapsed="false">
      <c r="B14" s="19" t="s">
        <v>39</v>
      </c>
      <c r="C14" s="20"/>
      <c r="D14" s="20"/>
      <c r="E14" s="21" t="n">
        <f aca="false">SUM(E12:E13)</f>
        <v>226000</v>
      </c>
    </row>
    <row r="15" customFormat="false" ht="15" hidden="false" customHeight="false" outlineLevel="0" collapsed="false">
      <c r="B15" s="5" t="s">
        <v>40</v>
      </c>
      <c r="C15" s="14" t="n">
        <f aca="false">Inputs!$C$8</f>
        <v>0.1</v>
      </c>
      <c r="D15" s="17" t="s">
        <v>41</v>
      </c>
      <c r="E15" s="18" t="n">
        <f aca="false">E14*Inputs!$C$8</f>
        <v>22600</v>
      </c>
    </row>
    <row r="16" customFormat="false" ht="15" hidden="false" customHeight="false" outlineLevel="0" collapsed="false">
      <c r="B16" s="22" t="s">
        <v>42</v>
      </c>
      <c r="C16" s="23"/>
      <c r="D16" s="23"/>
      <c r="E16" s="24" t="n">
        <f aca="false">E14+E15</f>
        <v>248600</v>
      </c>
    </row>
  </sheetData>
  <mergeCells count="2">
    <mergeCell ref="B2:D2"/>
    <mergeCell ref="B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4" min="3" style="1" width="12"/>
    <col collapsed="false" customWidth="true" hidden="false" outlineLevel="0" max="5" min="5" style="1" width="14"/>
    <col collapsed="false" customWidth="true" hidden="false" outlineLevel="0" max="8" min="6" style="1" width="16"/>
  </cols>
  <sheetData>
    <row r="2" customFormat="false" ht="24" hidden="false" customHeight="true" outlineLevel="0" collapsed="false">
      <c r="B2" s="2" t="s">
        <v>43</v>
      </c>
      <c r="C2" s="2"/>
      <c r="D2" s="2"/>
      <c r="E2" s="2"/>
      <c r="F2" s="2"/>
      <c r="G2" s="2"/>
      <c r="H2" s="2"/>
    </row>
    <row r="3" customFormat="false" ht="43.25" hidden="false" customHeight="false" outlineLevel="0" collapsed="false">
      <c r="B3" s="3" t="s">
        <v>44</v>
      </c>
    </row>
    <row r="5" customFormat="false" ht="15" hidden="false" customHeight="false" outlineLevel="0" collapsed="false">
      <c r="B5" s="4" t="s">
        <v>45</v>
      </c>
      <c r="C5" s="4" t="s">
        <v>46</v>
      </c>
      <c r="D5" s="4" t="s">
        <v>47</v>
      </c>
      <c r="E5" s="4" t="s">
        <v>48</v>
      </c>
      <c r="F5" s="4" t="s">
        <v>49</v>
      </c>
      <c r="G5" s="4" t="s">
        <v>50</v>
      </c>
      <c r="H5" s="4" t="s">
        <v>51</v>
      </c>
    </row>
    <row r="6" customFormat="false" ht="15" hidden="false" customHeight="false" outlineLevel="0" collapsed="false">
      <c r="B6" s="12" t="s">
        <v>52</v>
      </c>
      <c r="C6" s="10" t="n">
        <v>25</v>
      </c>
      <c r="D6" s="10" t="n">
        <v>1</v>
      </c>
      <c r="E6" s="10" t="n">
        <v>4</v>
      </c>
      <c r="F6" s="18" t="n">
        <f aca="false">C6*Inputs!$C$6+D6*Inputs!$C$7+E6*Inputs!$C$9</f>
        <v>13200</v>
      </c>
      <c r="G6" s="18" t="n">
        <f aca="false">F6*Inputs!$C$8</f>
        <v>1320</v>
      </c>
      <c r="H6" s="15" t="n">
        <f aca="false">F6+G6</f>
        <v>14520</v>
      </c>
    </row>
    <row r="7" customFormat="false" ht="15" hidden="false" customHeight="false" outlineLevel="0" collapsed="false">
      <c r="B7" s="5" t="s">
        <v>53</v>
      </c>
      <c r="C7" s="10" t="n">
        <v>60</v>
      </c>
      <c r="D7" s="10" t="n">
        <v>1</v>
      </c>
      <c r="E7" s="10" t="n">
        <v>5</v>
      </c>
      <c r="F7" s="18" t="n">
        <f aca="false">C7*Inputs!$C$6+D7*Inputs!$C$7+E7*Inputs!$C$9</f>
        <v>27250</v>
      </c>
      <c r="G7" s="18" t="n">
        <f aca="false">F7*Inputs!$C$8</f>
        <v>2725</v>
      </c>
      <c r="H7" s="15" t="n">
        <f aca="false">F7+G7</f>
        <v>29975</v>
      </c>
    </row>
    <row r="8" customFormat="false" ht="15" hidden="false" customHeight="false" outlineLevel="0" collapsed="false">
      <c r="B8" s="5" t="s">
        <v>54</v>
      </c>
      <c r="C8" s="10" t="n">
        <v>40</v>
      </c>
      <c r="D8" s="10" t="n">
        <v>0</v>
      </c>
      <c r="E8" s="10" t="n">
        <v>2</v>
      </c>
      <c r="F8" s="18" t="n">
        <f aca="false">C8*Inputs!$C$6+D8*Inputs!$C$7+E8*Inputs!$C$9</f>
        <v>16100</v>
      </c>
      <c r="G8" s="18" t="n">
        <f aca="false">F8*Inputs!$C$8</f>
        <v>1610</v>
      </c>
      <c r="H8" s="15" t="n">
        <f aca="false">F8+G8</f>
        <v>17710</v>
      </c>
    </row>
    <row r="9" customFormat="false" ht="15" hidden="false" customHeight="false" outlineLevel="0" collapsed="false">
      <c r="B9" s="5" t="s">
        <v>55</v>
      </c>
      <c r="C9" s="10" t="n">
        <v>120</v>
      </c>
      <c r="D9" s="10" t="n">
        <v>4</v>
      </c>
      <c r="E9" s="10" t="n">
        <v>12</v>
      </c>
      <c r="F9" s="18" t="n">
        <f aca="false">C9*Inputs!$C$6+D9*Inputs!$C$7+E9*Inputs!$C$9</f>
        <v>60600</v>
      </c>
      <c r="G9" s="18" t="n">
        <f aca="false">F9*Inputs!$C$8</f>
        <v>6060</v>
      </c>
      <c r="H9" s="15" t="n">
        <f aca="false">F9+G9</f>
        <v>66660</v>
      </c>
    </row>
    <row r="10" customFormat="false" ht="15" hidden="false" customHeight="false" outlineLevel="0" collapsed="false">
      <c r="B10" s="5" t="s">
        <v>56</v>
      </c>
      <c r="C10" s="10" t="n">
        <v>90</v>
      </c>
      <c r="D10" s="10" t="n">
        <v>2</v>
      </c>
      <c r="E10" s="10" t="n">
        <v>8</v>
      </c>
      <c r="F10" s="18" t="n">
        <f aca="false">C10*Inputs!$C$6+D10*Inputs!$C$7+E10*Inputs!$C$9</f>
        <v>42400</v>
      </c>
      <c r="G10" s="18" t="n">
        <f aca="false">F10*Inputs!$C$8</f>
        <v>4240</v>
      </c>
      <c r="H10" s="15" t="n">
        <f aca="false">F10+G10</f>
        <v>46640</v>
      </c>
    </row>
    <row r="11" customFormat="false" ht="15" hidden="false" customHeight="false" outlineLevel="0" collapsed="false">
      <c r="B11" s="5" t="s">
        <v>57</v>
      </c>
      <c r="C11" s="10" t="n">
        <v>55</v>
      </c>
      <c r="D11" s="10" t="n">
        <v>0</v>
      </c>
      <c r="E11" s="10" t="n">
        <v>3</v>
      </c>
      <c r="F11" s="18" t="n">
        <f aca="false">C11*Inputs!$C$6+D11*Inputs!$C$7+E11*Inputs!$C$9</f>
        <v>22150</v>
      </c>
      <c r="G11" s="18" t="n">
        <f aca="false">F11*Inputs!$C$8</f>
        <v>2215</v>
      </c>
      <c r="H11" s="15" t="n">
        <f aca="false">F11+G11</f>
        <v>24365</v>
      </c>
    </row>
    <row r="12" customFormat="false" ht="15" hidden="false" customHeight="false" outlineLevel="0" collapsed="false">
      <c r="B12" s="22" t="s">
        <v>58</v>
      </c>
      <c r="C12" s="25" t="n">
        <f aca="false">SUM(C6:C11)</f>
        <v>390</v>
      </c>
      <c r="D12" s="25" t="n">
        <f aca="false">SUM(D6:D11)</f>
        <v>8</v>
      </c>
      <c r="E12" s="25" t="n">
        <f aca="false">SUM(E6:E11)</f>
        <v>34</v>
      </c>
      <c r="F12" s="24" t="n">
        <f aca="false">SUM(F6:F11)</f>
        <v>181700</v>
      </c>
      <c r="G12" s="24" t="n">
        <f aca="false">SUM(G6:G11)</f>
        <v>18170</v>
      </c>
      <c r="H12" s="24" t="n">
        <f aca="false">SUM(H6:H11)</f>
        <v>199870</v>
      </c>
    </row>
    <row r="14" customFormat="false" ht="32.8" hidden="false" customHeight="false" outlineLevel="0" collapsed="false">
      <c r="B14" s="3" t="s">
        <v>59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5" min="3" style="1" width="18"/>
  </cols>
  <sheetData>
    <row r="2" customFormat="false" ht="24" hidden="false" customHeight="true" outlineLevel="0" collapsed="false">
      <c r="B2" s="2" t="s">
        <v>60</v>
      </c>
      <c r="C2" s="2"/>
      <c r="D2" s="2"/>
    </row>
    <row r="3" customFormat="false" ht="43.25" hidden="false" customHeight="false" outlineLevel="0" collapsed="false">
      <c r="B3" s="3" t="s">
        <v>61</v>
      </c>
    </row>
    <row r="5" customFormat="false" ht="15" hidden="false" customHeight="false" outlineLevel="0" collapsed="false">
      <c r="B5" s="4" t="s">
        <v>62</v>
      </c>
      <c r="C5" s="4" t="s">
        <v>63</v>
      </c>
      <c r="D5" s="4" t="s">
        <v>64</v>
      </c>
    </row>
    <row r="6" customFormat="false" ht="15" hidden="false" customHeight="false" outlineLevel="0" collapsed="false">
      <c r="B6" s="10" t="n">
        <v>9</v>
      </c>
      <c r="C6" s="26" t="n">
        <f aca="false">Inputs!$C$6*(B6/Inputs!$C$14)*(1+Inputs!$C$8)</f>
        <v>330</v>
      </c>
      <c r="D6" s="26" t="n">
        <f aca="false">Inputs!$C$7*(B6/Inputs!$C$14)*(1+Inputs!$C$8)</f>
        <v>2475</v>
      </c>
    </row>
    <row r="7" customFormat="false" ht="15" hidden="false" customHeight="false" outlineLevel="0" collapsed="false">
      <c r="B7" s="10" t="n">
        <v>6</v>
      </c>
      <c r="C7" s="26" t="n">
        <f aca="false">Inputs!$C$6*(B7/Inputs!$C$14)*(1+Inputs!$C$8)</f>
        <v>220</v>
      </c>
      <c r="D7" s="26" t="n">
        <f aca="false">Inputs!$C$7*(B7/Inputs!$C$14)*(1+Inputs!$C$8)</f>
        <v>1650</v>
      </c>
    </row>
    <row r="8" customFormat="false" ht="15" hidden="false" customHeight="false" outlineLevel="0" collapsed="false">
      <c r="B8" s="10" t="n">
        <v>3</v>
      </c>
      <c r="C8" s="26" t="n">
        <f aca="false">Inputs!$C$6*(B8/Inputs!$C$14)*(1+Inputs!$C$8)</f>
        <v>110</v>
      </c>
      <c r="D8" s="26" t="n">
        <f aca="false">Inputs!$C$7*(B8/Inputs!$C$14)*(1+Inputs!$C$8)</f>
        <v>825</v>
      </c>
    </row>
    <row r="9" customFormat="false" ht="15" hidden="false" customHeight="false" outlineLevel="0" collapsed="false">
      <c r="B9" s="10" t="n">
        <v>1</v>
      </c>
      <c r="C9" s="26" t="n">
        <f aca="false">Inputs!$C$6*(B9/Inputs!$C$14)*(1+Inputs!$C$8)</f>
        <v>36.6666666666667</v>
      </c>
      <c r="D9" s="26" t="n">
        <f aca="false">Inputs!$C$7*(B9/Inputs!$C$14)*(1+Inputs!$C$8)</f>
        <v>275</v>
      </c>
    </row>
    <row r="12" customFormat="false" ht="24" hidden="false" customHeight="true" outlineLevel="0" collapsed="false">
      <c r="B12" s="2" t="s">
        <v>65</v>
      </c>
      <c r="C12" s="2"/>
      <c r="D12" s="2"/>
    </row>
    <row r="13" customFormat="false" ht="15" hidden="false" customHeight="false" outlineLevel="0" collapsed="false">
      <c r="B13" s="12" t="s">
        <v>66</v>
      </c>
      <c r="C13" s="9" t="n">
        <v>400</v>
      </c>
    </row>
    <row r="14" customFormat="false" ht="15" hidden="false" customHeight="false" outlineLevel="0" collapsed="false">
      <c r="B14" s="12" t="s">
        <v>62</v>
      </c>
      <c r="C14" s="27" t="n">
        <v>5</v>
      </c>
    </row>
    <row r="15" customFormat="false" ht="15" hidden="false" customHeight="false" outlineLevel="0" collapsed="false">
      <c r="B15" s="19" t="s">
        <v>67</v>
      </c>
      <c r="C15" s="28" t="n">
        <f aca="false">C13*(C14/Inputs!$C$14)*(1+Inputs!$C$8)</f>
        <v>183.333333333333</v>
      </c>
    </row>
  </sheetData>
  <mergeCells count="2">
    <mergeCell ref="B2:D2"/>
    <mergeCell ref="B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5" min="3" style="1" width="18"/>
  </cols>
  <sheetData>
    <row r="2" customFormat="false" ht="24" hidden="false" customHeight="true" outlineLevel="0" collapsed="false">
      <c r="B2" s="2" t="s">
        <v>68</v>
      </c>
      <c r="C2" s="2"/>
      <c r="D2" s="2"/>
      <c r="E2" s="2"/>
    </row>
    <row r="3" customFormat="false" ht="43.25" hidden="false" customHeight="false" outlineLevel="0" collapsed="false">
      <c r="B3" s="3" t="s">
        <v>69</v>
      </c>
    </row>
    <row r="5" customFormat="false" ht="15" hidden="false" customHeight="false" outlineLevel="0" collapsed="false">
      <c r="B5" s="4" t="s">
        <v>70</v>
      </c>
      <c r="C5" s="4" t="s">
        <v>71</v>
      </c>
      <c r="D5" s="4" t="s">
        <v>72</v>
      </c>
      <c r="E5" s="4" t="s">
        <v>50</v>
      </c>
      <c r="F5" s="4" t="s">
        <v>51</v>
      </c>
    </row>
    <row r="6" customFormat="false" ht="15" hidden="false" customHeight="false" outlineLevel="0" collapsed="false">
      <c r="B6" s="5" t="s">
        <v>73</v>
      </c>
      <c r="C6" s="8" t="n">
        <v>0.05</v>
      </c>
      <c r="D6" s="13" t="n">
        <f aca="false">(Inputs!$C$10*Inputs!$C$6+Inputs!$C$11*Inputs!$C$7)</f>
        <v>226000</v>
      </c>
      <c r="E6" s="18" t="n">
        <f aca="false">D6*C6</f>
        <v>11300</v>
      </c>
      <c r="F6" s="18" t="n">
        <f aca="false">D6+E6</f>
        <v>237300</v>
      </c>
    </row>
    <row r="7" customFormat="false" ht="15" hidden="false" customHeight="false" outlineLevel="0" collapsed="false">
      <c r="B7" s="12" t="s">
        <v>74</v>
      </c>
      <c r="C7" s="14" t="n">
        <f aca="false">Inputs!$C$8</f>
        <v>0.1</v>
      </c>
      <c r="D7" s="13" t="n">
        <f aca="false">(Inputs!$C$10*Inputs!$C$6+Inputs!$C$11*Inputs!$C$7)</f>
        <v>226000</v>
      </c>
      <c r="E7" s="18" t="n">
        <f aca="false">D7*C7</f>
        <v>22600</v>
      </c>
      <c r="F7" s="24" t="n">
        <f aca="false">D7+E7</f>
        <v>248600</v>
      </c>
    </row>
    <row r="8" customFormat="false" ht="15" hidden="false" customHeight="false" outlineLevel="0" collapsed="false">
      <c r="B8" s="5" t="s">
        <v>75</v>
      </c>
      <c r="C8" s="8" t="n">
        <v>0.15</v>
      </c>
      <c r="D8" s="13" t="n">
        <f aca="false">(Inputs!$C$10*Inputs!$C$6+Inputs!$C$11*Inputs!$C$7)</f>
        <v>226000</v>
      </c>
      <c r="E8" s="18" t="n">
        <f aca="false">D8*C8</f>
        <v>33900</v>
      </c>
      <c r="F8" s="18" t="n">
        <f aca="false">D8+E8</f>
        <v>259900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2026-06-22T05:51:25Z</dcterms:created>
  <dc:creator>openpyxl</dc:creator>
  <dc:description/>
  <dc:language>en-IN</dc:language>
  <cp:lastModifiedBy/>
  <dcterms:modified xsi:type="dcterms:W3CDTF">2026-06-22T05:51:25Z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